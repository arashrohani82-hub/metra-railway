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etrastructure-my.sharepoint.com/personal/arash_rohani_metrastructure_ca/Documents/Metra Structure Inc/Offre de service/"/>
    </mc:Choice>
  </mc:AlternateContent>
  <xr:revisionPtr revIDLastSave="1295" documentId="13_ncr:1_{A11B4005-2E9D-42B7-92E2-9984A460539C}" xr6:coauthVersionLast="47" xr6:coauthVersionMax="47" xr10:uidLastSave="{CA8FF602-CD96-44F7-A21A-18FDECF762A5}"/>
  <bookViews>
    <workbookView xWindow="-120" yWindow="-120" windowWidth="29040" windowHeight="15840" xr2:uid="{F4318A00-0B1B-471C-BEF2-B8B8B9D94157}"/>
  </bookViews>
  <sheets>
    <sheet name="ODS" sheetId="1" r:id="rId1"/>
    <sheet name="Sheet1" sheetId="2" r:id="rId2"/>
  </sheets>
  <definedNames>
    <definedName name="_xlnm.Print_Area" localSheetId="0">ODS!$A$1:$G$65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 i="1" l="1"/>
  <c r="J4" i="1"/>
  <c r="F48" i="1" l="1"/>
  <c r="D6" i="1"/>
</calcChain>
</file>

<file path=xl/sharedStrings.xml><?xml version="1.0" encoding="utf-8"?>
<sst xmlns="http://schemas.openxmlformats.org/spreadsheetml/2006/main" count="89" uniqueCount="84">
  <si>
    <r>
      <t xml:space="preserve">  </t>
    </r>
    <r>
      <rPr>
        <b/>
        <sz val="11"/>
        <color theme="1"/>
        <rFont val="Cambria"/>
        <family val="1"/>
      </rPr>
      <t>Ingénierie des structures / Structural Engineering</t>
    </r>
  </si>
  <si>
    <t xml:space="preserve"> 1610-1280 Rue Saint-Jacques </t>
  </si>
  <si>
    <t>Montréal – Québec- Canada  H3C 0G1</t>
  </si>
  <si>
    <t>info@metrastructure.ca | (438) 867-4131</t>
  </si>
  <si>
    <t>Date :</t>
  </si>
  <si>
    <t>CADRE CONTRACTUEL – PROPOSITION DE SERVICES | MÉTRA STRUCTURE INC.</t>
  </si>
  <si>
    <t>L’équipe de Métra Structure Inc. vous remercie pour votre confiance à l’égard de notre proposition de services. Nous vous informons que la présente offre, ainsi que les conditions qui l’accompagnent, forment un accord unique et indissociable. Toute acceptation de cette offre vaut acceptation complète et sans réserve de l’ensemble des modalités qui y sont énoncées.</t>
  </si>
  <si>
    <t>Aux fins des présentes, le terme « Client » réfère à la personne, physique ou morale, qui confie le mandat et qui demeure responsable du paiement des honoraires afférents.</t>
  </si>
  <si>
    <t>1. Description des services</t>
  </si>
  <si>
    <t>Métra Structure Inc. offre ses services d’ingénierie-conseil conformément aux cadres légaux, aux normes en vigueur et aux règles professionnelles applicables, notamment celles de l’Ordre des ingénieurs du Québec (OIQ) et de Professional Engineers Ontario (PEO), pour le périmètre défini au mandat. Les services sont fournis selon une obligation de moyens et non de résultat. La responsabilité de Métra Structure Inc. ne pourra excéder, sous réserve des dispositions légales applicables, le montant des honoraires payés pour le présent mandat.</t>
  </si>
  <si>
    <t>2. Versement initial</t>
  </si>
  <si>
    <t>3. Honoraires et modalités de paiement</t>
  </si>
  <si>
    <t>Les honoraires et frais remboursables sont facturés selon la progression des travaux et sont exigibles dès réception de la facture. Tout montant non réglé dans un délai de trente (30) jours sera assujetti à des intérêts de 1,5 % par mois (19,56 % par année). En cas de non-paiement, Métra Structure Inc. pourra suspendre la prestation des services. Les taxes applicables s’ajoutent aux honoraires.</t>
  </si>
  <si>
    <t>4. Gestion des retards et arrêt du projet</t>
  </si>
  <si>
    <t>En cas de suspension ou d’annulation du projet, le client est responsable du paiement des coûts engagés et des prestations réalisées jusqu’à la date de notification écrite.</t>
  </si>
  <si>
    <t>5. Cadre contractuel</t>
  </si>
  <si>
    <t>Ce document tient lieu d’entente complète entre les parties. Aucun changement ne sera valide à moins d’être formulé par écrit.</t>
  </si>
  <si>
    <t xml:space="preserve"> 1 | Page </t>
  </si>
  <si>
    <t>6. Présence sur site et logistique</t>
  </si>
  <si>
    <t>Toute requête impliquant une visite ou un déplacement sur le chantier doit être transmise au moins quarante-huit (48) heures avant la date prévue.</t>
  </si>
  <si>
    <t>TAUX HORAIRES</t>
  </si>
  <si>
    <t xml:space="preserve">Ingénieur senior : </t>
  </si>
  <si>
    <t>130 $ /h</t>
  </si>
  <si>
    <t>Ingénieur intermédiaire :</t>
  </si>
  <si>
    <t>110 $ /h</t>
  </si>
  <si>
    <t xml:space="preserve">Ingénieur junior : </t>
  </si>
  <si>
    <t>105 $ /h</t>
  </si>
  <si>
    <t xml:space="preserve">Technicien : </t>
  </si>
  <si>
    <t>100 $ /h</t>
  </si>
  <si>
    <t>Dessinateur :</t>
  </si>
  <si>
    <t>85 $ /h</t>
  </si>
  <si>
    <t>HONORAIRES – FORFAIT DU PROJET</t>
  </si>
  <si>
    <t>Sr Ingenieur</t>
  </si>
  <si>
    <t>Int Ingenieur</t>
  </si>
  <si>
    <t>CPI</t>
  </si>
  <si>
    <t>Sr Dessianateur</t>
  </si>
  <si>
    <t>Jr Dessinatuer</t>
  </si>
  <si>
    <t>kilometrage</t>
  </si>
  <si>
    <t>Description des services</t>
  </si>
  <si>
    <t>Unité</t>
  </si>
  <si>
    <t xml:space="preserve">Quantité </t>
  </si>
  <si>
    <t xml:space="preserve">Coût unitaire </t>
  </si>
  <si>
    <t xml:space="preserve">
Coût total
</t>
  </si>
  <si>
    <t>Forfait</t>
  </si>
  <si>
    <t xml:space="preserve"> Total des honoraires du projet </t>
  </si>
  <si>
    <t>AUTRES FRAIS (SI APPLICABLE)</t>
  </si>
  <si>
    <t>Cette offre est basée sur les hypothèses suivantes :</t>
  </si>
  <si>
    <t>La présente offre est valable pour une durée de trente (30) jours. Afin de l’accepter, veuillez compléter les sections suivantes.</t>
  </si>
  <si>
    <r>
      <t xml:space="preserve">Arash Rohani </t>
    </r>
    <r>
      <rPr>
        <sz val="12"/>
        <color theme="1"/>
        <rFont val="Times New Roman"/>
        <family val="1"/>
      </rPr>
      <t>, ing., P.Eng.</t>
    </r>
  </si>
  <si>
    <t>Nom du client:</t>
  </si>
  <si>
    <t xml:space="preserve">Président-Ingénieur en structure </t>
  </si>
  <si>
    <t>Métra Structure Inc.</t>
  </si>
  <si>
    <t>Date:</t>
  </si>
  <si>
    <t xml:space="preserve"> 2 | Page </t>
  </si>
  <si>
    <t xml:space="preserve">conception le batiment </t>
  </si>
  <si>
    <t>inspection fondation</t>
  </si>
  <si>
    <t xml:space="preserve">inspection Denivelation </t>
  </si>
  <si>
    <t>1- Inspection sur site des fissures, désordres et signes de mouvement structural (murs, plafonds, fondations).
2- Analyse des causes probables (mouvement de la structure, affaissement des fondations, retrait des matériaux, infiltration, etc.).
3- Évaluation de la gravité et des risques structuraux, avec recommandations de stabilisation ou de réparation si requis.
4- Préparation d’un rapport technique signé et scellé par un ingénieur (constats, conclusions et recommandations).</t>
  </si>
  <si>
    <t xml:space="preserve">1-Révision des plans architecturaux, définition du système structural et identification des éléments porteurs.
2-Analyse structurale, conception selon le CNB et design complet des fondations, planchers, poutres, colonnes et murs porteurs.
3-Production des plans de fondations, planchers et toiture, incluant coupes, détails structuraux, notes générales et estampille OIQ plan pour permis et construction.
</t>
  </si>
  <si>
    <t xml:space="preserve">enlever mur purteur </t>
  </si>
  <si>
    <t>Visite sur place
Analyse structurale des murs porteurs et du cheminement des charges
Conception du remplacement (poutres/linteaux, poteaux, appuis/fondations, détails)
Plans  annotation de structuraux scellés pour permis (incluant notes et détails d’installation)</t>
  </si>
  <si>
    <t xml:space="preserve">2-Accès à l’ensemble des éléments structuraux accessibles, incluant notamment les colonnes, les poutres, les murs porteurs, les murs de contreventement ainsi que les fondations, lorsque applicable.
</t>
  </si>
  <si>
    <t>Conversion d’un duplex en habitation unifamiliale</t>
  </si>
  <si>
    <r>
      <t xml:space="preserve">Relevé des lieux et préparation des </t>
    </r>
    <r>
      <rPr>
        <b/>
        <sz val="11"/>
        <color theme="1"/>
        <rFont val="Arial"/>
        <family val="2"/>
        <scheme val="minor"/>
      </rPr>
      <t>plans actuels</t>
    </r>
    <r>
      <rPr>
        <sz val="11"/>
        <color theme="1"/>
        <rFont val="Arial"/>
        <family val="2"/>
        <scheme val="minor"/>
      </rPr>
      <t xml:space="preserve"> avec dimensions des pièces, portes et fenêtres.
Identification des murs porteurs et non porteurs existants.
Conception des plans projetés pour la conversion du duplex en unifamiliale, incluant l’ajout d’un escalier intérieur et la modification/retrait de murs porteurs.
Validation finale et approbation par un ingénieur membre de l’Ordre des ingénieurs du Québec (OIQ).
</t>
    </r>
  </si>
  <si>
    <t>Visite du bâtiment, relevé des conditions existantes pertinentes au mandat et vérification des documents préliminaires disponibles.
Analyse structurale du mur de soutènement, des fondations et de la poutre projetée.
Conception des éléments structuraux requis au projet.
Préparation et annotation des plans structuraux pour construction, signés et scellés.</t>
  </si>
  <si>
    <t xml:space="preserve">Mur de souteinment </t>
  </si>
  <si>
    <t>Réaménagement intérieur avec modification structurale</t>
  </si>
  <si>
    <t>Relevé et vérification de la structure existante du bâtiment.
Vérification structurale des étages inférieurs affectés par le projet.
Conception de la mezzanine en toiture et des renforcements requis, au besoin.
Annotation des plans et préparation des documents techniques signés et scellés nécessaires aux travaux.</t>
  </si>
  <si>
    <t>1. Analyse des documents existants
2. Validation du design architectural
3. Conception des éléments structuraux de raccordement
4. Plans et détails techniques</t>
  </si>
  <si>
    <t>Validation structurale</t>
  </si>
  <si>
    <t>Évaluation des fissures</t>
  </si>
  <si>
    <t>Analyse du rapport d’inspection existant et inspection ciblée des fissures observées aux fondations et à la maçonnerie.
Installation de témoins de fissure aux endroits jugés pertinents afin de vérifier l’évolution des fissures dans le temps.
Suivi périodique des fissures sur une période de 6 mois afin d’évaluer leur caractère actif ou stabilisé et leur impact potentiel sur la structure.
Rapport final avec conclusions et recommandations de travaux correctifs, si requis.</t>
  </si>
  <si>
    <t>Évaluation des fissures2</t>
  </si>
  <si>
    <t xml:space="preserve"> Valider les fissures observées (fondations et maçonnerie), déterminer leur nature (active ou stabilisée) et évaluer leur impact potentiel sur la structure du bâtiment.</t>
  </si>
  <si>
    <t>À défaut d’une entente écrite contraire, un acompte représentant 25 % du montant total de l’offre de services est requis au moment de la signature.</t>
  </si>
  <si>
    <t>1-Les plans architecturaux et structuraux seront fournis avant le début du mandat(si disponible )</t>
  </si>
  <si>
    <t>Le délai de livraison estimé est de 10 jours ouvrables suivant la visite finale sur site.</t>
  </si>
  <si>
    <t>M. Kugler</t>
  </si>
  <si>
    <t>Courriel : arikugler@gmail.com</t>
  </si>
  <si>
    <t xml:space="preserve">Cell.: </t>
  </si>
  <si>
    <t>ODS26-062-NAN-Analyse structurale – sous-sol et ajout au-dessus du garage</t>
  </si>
  <si>
    <t>Visite sur place et vérification des conditions existantes, incluant les poteaux en bois sous le solarium et les éléments structuraux du garage;
Analyse structurale des éléments concernés par le déplacement des poteaux et par l’ajout projeté au-dessus du garage;
Recommandations techniques et conception des renforcements requis, le cas échéant;
Préparation d’un rapport, d’un avis technique ou de plans signés et scellés par un ingénieur membre de l’OIQ, selon le mandat confirmé.</t>
  </si>
  <si>
    <t xml:space="preserve">3-La vérification, la coordination et l’approbation par l’architecte ou le technologue ne sont pas incluses dans la présente offre de service.
</t>
  </si>
  <si>
    <t>Adresse: :185 Av. Nantel, Sainte-Agathe-des-Monts, QC J8C 2G3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</si>
</sst>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yyyy\-mm\-dd;@"/>
  </numFmts>
  <fonts count="22" x14ac:knownFonts="1">
    <font>
      <sz val="11"/>
      <color theme="1"/>
      <name val="Arial"/>
      <family val="2"/>
      <scheme val="minor"/>
    </font>
    <font>
      <sz val="11"/>
      <color theme="1"/>
      <name val="Arial"/>
      <family val="2"/>
      <scheme val="minor"/>
    </font>
    <font>
      <sz val="11"/>
      <color theme="1"/>
      <name val="Cambria"/>
      <family val="1"/>
    </font>
    <font>
      <b/>
      <sz val="11"/>
      <color theme="1"/>
      <name val="Cambria"/>
      <family val="1"/>
    </font>
    <font>
      <u/>
      <sz val="11"/>
      <color theme="10"/>
      <name val="Arial"/>
      <family val="2"/>
      <scheme val="minor"/>
    </font>
    <font>
      <b/>
      <sz val="12"/>
      <color theme="1"/>
      <name val="Times New Roman"/>
      <family val="1"/>
    </font>
    <font>
      <b/>
      <sz val="11"/>
      <color theme="1"/>
      <name val="Times New Roman"/>
      <family val="1"/>
    </font>
    <font>
      <sz val="11"/>
      <color theme="1"/>
      <name val="Times New Roman"/>
      <family val="1"/>
    </font>
    <font>
      <sz val="12"/>
      <name val="Calibri"/>
      <family val="2"/>
    </font>
    <font>
      <sz val="12"/>
      <color theme="1"/>
      <name val="Times New Roman"/>
      <family val="1"/>
    </font>
    <font>
      <sz val="10"/>
      <color theme="1"/>
      <name val="Symbol"/>
      <family val="1"/>
      <charset val="2"/>
    </font>
    <font>
      <sz val="10"/>
      <color theme="1"/>
      <name val="Times New Roman"/>
      <family val="1"/>
      <scheme val="major"/>
    </font>
    <font>
      <sz val="8"/>
      <name val="Arial"/>
      <family val="2"/>
      <scheme val="minor"/>
    </font>
    <font>
      <sz val="11"/>
      <color theme="1"/>
      <name val="Times New Roman"/>
      <family val="1"/>
      <scheme val="major"/>
    </font>
    <font>
      <sz val="12"/>
      <color theme="1"/>
      <name val="Arial"/>
      <family val="2"/>
      <scheme val="minor"/>
    </font>
    <font>
      <b/>
      <sz val="11"/>
      <color theme="1"/>
      <name val="Times New Roman"/>
      <family val="1"/>
      <scheme val="major"/>
    </font>
    <font>
      <sz val="12"/>
      <color theme="1"/>
      <name val="Times New Roman"/>
      <family val="1"/>
      <scheme val="major"/>
    </font>
    <font>
      <sz val="11"/>
      <color rgb="FF000000"/>
      <name val="Times New Roman"/>
      <family val="1"/>
    </font>
    <font>
      <sz val="11"/>
      <color rgb="FF000000"/>
      <name val="Arial"/>
      <family val="2"/>
      <scheme val="minor"/>
    </font>
    <font>
      <b/>
      <sz val="10"/>
      <color theme="1"/>
      <name val="Times New Roman"/>
      <family val="1"/>
      <scheme val="major"/>
    </font>
    <font>
      <b/>
      <sz val="11"/>
      <color theme="1"/>
      <name val="Arial"/>
      <family val="2"/>
      <scheme val="minor"/>
    </font>
    <font>
      <sz val="12"/>
      <color rgb="FF000000"/>
      <name val="Times New Roman"/>
      <family val="1"/>
      <scheme val="major"/>
    </font>
  </fonts>
  <fills count="2">
    <fill>
      <patternFill patternType="none"/>
    </fill>
    <fill>
      <patternFill patternType="gray125"/>
    </fill>
  </fills>
  <borders count="6">
    <border>
      <left/>
      <right/>
      <top/>
      <bottom/>
      <diagonal/>
    </border>
    <border>
      <left/>
      <right/>
      <top style="thin">
        <color theme="3" tint="0.499984740745262"/>
      </top>
      <bottom/>
      <diagonal/>
    </border>
    <border>
      <left/>
      <right/>
      <top style="thin">
        <color theme="4"/>
      </top>
      <bottom/>
      <diagonal/>
    </border>
    <border>
      <left style="thin">
        <color auto="1"/>
      </left>
      <right style="thin">
        <color auto="1"/>
      </right>
      <top style="thin">
        <color auto="1"/>
      </top>
      <bottom style="thin">
        <color auto="1"/>
      </bottom>
      <diagonal/>
    </border>
    <border>
      <left/>
      <right/>
      <top/>
      <bottom style="thin">
        <color theme="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0" fontId="4" fillId="0" borderId="0" applyNumberFormat="0" applyFill="0" applyBorder="0" applyAlignment="0" applyProtection="0"/>
  </cellStyleXfs>
  <cellXfs count="44">
    <xf numFmtId="0" fontId="0" fillId="0" borderId="0" xfId="0"/>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10" fillId="0" borderId="0" xfId="0" applyFont="1" applyAlignment="1">
      <alignment horizontal="left" vertical="center" indent="4"/>
    </xf>
    <xf numFmtId="0" fontId="0" fillId="0" borderId="0" xfId="0" applyAlignment="1">
      <alignment horizontal="right"/>
    </xf>
    <xf numFmtId="0" fontId="5" fillId="0" borderId="0" xfId="0" applyFont="1" applyAlignment="1">
      <alignment horizontal="left" vertical="center"/>
    </xf>
    <xf numFmtId="0" fontId="0" fillId="0" borderId="0" xfId="0" applyAlignment="1">
      <alignment horizontal="left"/>
    </xf>
    <xf numFmtId="0" fontId="9" fillId="0" borderId="0" xfId="0" applyFont="1" applyAlignment="1">
      <alignment horizontal="left" vertical="center"/>
    </xf>
    <xf numFmtId="0" fontId="0" fillId="0" borderId="1" xfId="0" applyBorder="1"/>
    <xf numFmtId="0" fontId="13" fillId="0" borderId="0" xfId="0" applyFont="1" applyAlignment="1">
      <alignment horizontal="left" vertical="center"/>
    </xf>
    <xf numFmtId="0" fontId="10" fillId="0" borderId="2" xfId="0" applyFont="1" applyBorder="1" applyAlignment="1">
      <alignment horizontal="left" vertical="center" indent="4"/>
    </xf>
    <xf numFmtId="0" fontId="13" fillId="0" borderId="0" xfId="0" applyFont="1" applyAlignment="1">
      <alignment horizontal="right" vertical="center"/>
    </xf>
    <xf numFmtId="0" fontId="9" fillId="0" borderId="0" xfId="0" applyFont="1" applyAlignment="1">
      <alignment horizontal="left" vertical="center" wrapText="1"/>
    </xf>
    <xf numFmtId="0" fontId="4" fillId="0" borderId="0" xfId="2" applyBorder="1" applyAlignment="1">
      <alignment horizontal="center" vertical="center"/>
    </xf>
    <xf numFmtId="0" fontId="14" fillId="0" borderId="0" xfId="0" applyFont="1" applyAlignment="1">
      <alignment horizontal="center" vertical="center"/>
    </xf>
    <xf numFmtId="44" fontId="14" fillId="0" borderId="0" xfId="1" applyFont="1" applyAlignment="1">
      <alignment horizontal="center" vertical="center"/>
    </xf>
    <xf numFmtId="44" fontId="18" fillId="0" borderId="3" xfId="1" applyFont="1" applyBorder="1" applyAlignment="1">
      <alignment vertical="center"/>
    </xf>
    <xf numFmtId="0" fontId="17" fillId="0" borderId="3" xfId="0" applyFont="1" applyBorder="1" applyAlignment="1">
      <alignment horizontal="center" vertical="center"/>
    </xf>
    <xf numFmtId="0" fontId="16" fillId="0" borderId="0" xfId="0" applyFont="1" applyAlignment="1">
      <alignment vertical="center"/>
    </xf>
    <xf numFmtId="0" fontId="15" fillId="0" borderId="3" xfId="0" applyFont="1" applyBorder="1" applyAlignment="1">
      <alignment horizontal="center" vertical="center"/>
    </xf>
    <xf numFmtId="0" fontId="19" fillId="0" borderId="3" xfId="0" applyFont="1" applyBorder="1" applyAlignment="1">
      <alignment horizontal="center" vertical="center" wrapText="1"/>
    </xf>
    <xf numFmtId="44" fontId="0" fillId="0" borderId="3" xfId="1" applyFont="1" applyBorder="1" applyAlignment="1">
      <alignment horizontal="center" vertical="center"/>
    </xf>
    <xf numFmtId="0" fontId="0" fillId="0" borderId="0" xfId="0" applyAlignment="1">
      <alignment wrapText="1"/>
    </xf>
    <xf numFmtId="0" fontId="0" fillId="0" borderId="0" xfId="0" applyAlignment="1">
      <alignment vertical="center" readingOrder="1"/>
    </xf>
    <xf numFmtId="0" fontId="0" fillId="0" borderId="0" xfId="0" applyAlignment="1">
      <alignment vertical="center" wrapText="1"/>
    </xf>
    <xf numFmtId="0" fontId="17" fillId="0" borderId="5" xfId="0" applyFont="1" applyBorder="1" applyAlignment="1">
      <alignment horizontal="left" vertical="center" wrapText="1"/>
    </xf>
    <xf numFmtId="0" fontId="0" fillId="0" borderId="0" xfId="0" applyAlignment="1">
      <alignment vertical="center"/>
    </xf>
    <xf numFmtId="0" fontId="20" fillId="0" borderId="0" xfId="0" applyFont="1"/>
    <xf numFmtId="0" fontId="21" fillId="0" borderId="3" xfId="0" applyFont="1" applyBorder="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11" fillId="0" borderId="2" xfId="0" applyFont="1" applyBorder="1" applyAlignment="1">
      <alignment horizontal="center" vertical="center"/>
    </xf>
    <xf numFmtId="0" fontId="7" fillId="0" borderId="0" xfId="0" applyFont="1" applyAlignment="1">
      <alignment horizontal="left" vertical="center" wrapText="1" indent="1"/>
    </xf>
    <xf numFmtId="0" fontId="7" fillId="0" borderId="0" xfId="0" applyFont="1" applyAlignment="1">
      <alignment horizontal="left" vertical="center" wrapText="1"/>
    </xf>
    <xf numFmtId="0" fontId="7" fillId="0" borderId="3" xfId="0" applyFont="1" applyBorder="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4" fillId="0" borderId="4" xfId="2" applyBorder="1" applyAlignment="1">
      <alignment horizontal="center" vertical="center"/>
    </xf>
    <xf numFmtId="0" fontId="13" fillId="0" borderId="0" xfId="0" applyFont="1" applyAlignment="1">
      <alignment horizontal="left" vertical="center" wrapText="1"/>
    </xf>
    <xf numFmtId="0" fontId="4" fillId="0" borderId="0" xfId="2" applyAlignment="1">
      <alignment horizontal="center" vertical="center"/>
    </xf>
    <xf numFmtId="0" fontId="15" fillId="0" borderId="0" xfId="0" applyFont="1" applyAlignment="1">
      <alignment horizontal="left" vertical="top" wrapText="1"/>
    </xf>
    <xf numFmtId="164" fontId="0" fillId="0" borderId="0" xfId="0" applyNumberFormat="1" applyAlignment="1">
      <alignment horizontal="left"/>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49695</xdr:colOff>
      <xdr:row>0</xdr:row>
      <xdr:rowOff>47624</xdr:rowOff>
    </xdr:from>
    <xdr:to>
      <xdr:col>1</xdr:col>
      <xdr:colOff>1565413</xdr:colOff>
      <xdr:row>2</xdr:row>
      <xdr:rowOff>190541</xdr:rowOff>
    </xdr:to>
    <xdr:pic>
      <xdr:nvPicPr>
        <xdr:cNvPr id="3" name="Picture 2">
          <a:extLst>
            <a:ext uri="{FF2B5EF4-FFF2-40B4-BE49-F238E27FC236}">
              <a16:creationId xmlns:a16="http://schemas.microsoft.com/office/drawing/2014/main" id="{28873B12-93F0-6B43-EFE0-041CC8B1CE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521" y="47624"/>
          <a:ext cx="1515718" cy="631591"/>
        </a:xfrm>
        <a:prstGeom prst="rect">
          <a:avLst/>
        </a:prstGeom>
      </xdr:spPr>
    </xdr:pic>
    <xdr:clientData/>
  </xdr:twoCellAnchor>
  <xdr:twoCellAnchor editAs="oneCell">
    <xdr:from>
      <xdr:col>1</xdr:col>
      <xdr:colOff>1430907</xdr:colOff>
      <xdr:row>26</xdr:row>
      <xdr:rowOff>57333</xdr:rowOff>
    </xdr:from>
    <xdr:to>
      <xdr:col>1</xdr:col>
      <xdr:colOff>2774675</xdr:colOff>
      <xdr:row>28</xdr:row>
      <xdr:rowOff>845</xdr:rowOff>
    </xdr:to>
    <xdr:pic>
      <xdr:nvPicPr>
        <xdr:cNvPr id="9" name="Picture 8">
          <a:extLst>
            <a:ext uri="{FF2B5EF4-FFF2-40B4-BE49-F238E27FC236}">
              <a16:creationId xmlns:a16="http://schemas.microsoft.com/office/drawing/2014/main" id="{11C31E52-54C7-1BC1-7C48-F355F0AA91C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13733" y="9458094"/>
          <a:ext cx="1343768" cy="307947"/>
        </a:xfrm>
        <a:prstGeom prst="rect">
          <a:avLst/>
        </a:prstGeom>
      </xdr:spPr>
    </xdr:pic>
    <xdr:clientData/>
  </xdr:twoCellAnchor>
  <xdr:twoCellAnchor editAs="oneCell">
    <xdr:from>
      <xdr:col>1</xdr:col>
      <xdr:colOff>249477</xdr:colOff>
      <xdr:row>26</xdr:row>
      <xdr:rowOff>40531</xdr:rowOff>
    </xdr:from>
    <xdr:to>
      <xdr:col>1</xdr:col>
      <xdr:colOff>1234110</xdr:colOff>
      <xdr:row>27</xdr:row>
      <xdr:rowOff>177335</xdr:rowOff>
    </xdr:to>
    <xdr:pic>
      <xdr:nvPicPr>
        <xdr:cNvPr id="11" name="Picture 10">
          <a:extLst>
            <a:ext uri="{FF2B5EF4-FFF2-40B4-BE49-F238E27FC236}">
              <a16:creationId xmlns:a16="http://schemas.microsoft.com/office/drawing/2014/main" id="{83D7F82E-C8A2-46B3-5716-3756AE9A4F5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2303" y="9441292"/>
          <a:ext cx="984633" cy="319021"/>
        </a:xfrm>
        <a:prstGeom prst="rect">
          <a:avLst/>
        </a:prstGeom>
      </xdr:spPr>
    </xdr:pic>
    <xdr:clientData/>
  </xdr:twoCellAnchor>
  <xdr:oneCellAnchor>
    <xdr:from>
      <xdr:col>1</xdr:col>
      <xdr:colOff>33130</xdr:colOff>
      <xdr:row>29</xdr:row>
      <xdr:rowOff>155298</xdr:rowOff>
    </xdr:from>
    <xdr:ext cx="1457740" cy="607432"/>
    <xdr:pic>
      <xdr:nvPicPr>
        <xdr:cNvPr id="12" name="Picture 11">
          <a:extLst>
            <a:ext uri="{FF2B5EF4-FFF2-40B4-BE49-F238E27FC236}">
              <a16:creationId xmlns:a16="http://schemas.microsoft.com/office/drawing/2014/main" id="{FCCCECAF-CAE2-4921-9BE3-6886FBA84B7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5956" y="9804537"/>
          <a:ext cx="1457740" cy="607432"/>
        </a:xfrm>
        <a:prstGeom prst="rect">
          <a:avLst/>
        </a:prstGeom>
      </xdr:spPr>
    </xdr:pic>
    <xdr:clientData/>
  </xdr:oneCellAnchor>
  <xdr:twoCellAnchor editAs="oneCell">
    <xdr:from>
      <xdr:col>1</xdr:col>
      <xdr:colOff>3023152</xdr:colOff>
      <xdr:row>26</xdr:row>
      <xdr:rowOff>40861</xdr:rowOff>
    </xdr:from>
    <xdr:to>
      <xdr:col>1</xdr:col>
      <xdr:colOff>3793435</xdr:colOff>
      <xdr:row>28</xdr:row>
      <xdr:rowOff>151434</xdr:rowOff>
    </xdr:to>
    <xdr:pic>
      <xdr:nvPicPr>
        <xdr:cNvPr id="17" name="Picture 16">
          <a:extLst>
            <a:ext uri="{FF2B5EF4-FFF2-40B4-BE49-F238E27FC236}">
              <a16:creationId xmlns:a16="http://schemas.microsoft.com/office/drawing/2014/main" id="{34E697B6-314D-80E6-7C7C-36C45C92B20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105978" y="9143448"/>
          <a:ext cx="770283" cy="475008"/>
        </a:xfrm>
        <a:prstGeom prst="rect">
          <a:avLst/>
        </a:prstGeom>
      </xdr:spPr>
    </xdr:pic>
    <xdr:clientData/>
  </xdr:twoCellAnchor>
  <xdr:oneCellAnchor>
    <xdr:from>
      <xdr:col>1</xdr:col>
      <xdr:colOff>1430907</xdr:colOff>
      <xdr:row>62</xdr:row>
      <xdr:rowOff>57333</xdr:rowOff>
    </xdr:from>
    <xdr:ext cx="1343768" cy="307947"/>
    <xdr:pic>
      <xdr:nvPicPr>
        <xdr:cNvPr id="2" name="Picture 1">
          <a:extLst>
            <a:ext uri="{FF2B5EF4-FFF2-40B4-BE49-F238E27FC236}">
              <a16:creationId xmlns:a16="http://schemas.microsoft.com/office/drawing/2014/main" id="{8C6F071C-DDCC-47FC-9CA7-63570C3DDB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13733" y="25402116"/>
          <a:ext cx="1343768" cy="307947"/>
        </a:xfrm>
        <a:prstGeom prst="rect">
          <a:avLst/>
        </a:prstGeom>
      </xdr:spPr>
    </xdr:pic>
    <xdr:clientData/>
  </xdr:oneCellAnchor>
  <xdr:oneCellAnchor>
    <xdr:from>
      <xdr:col>1</xdr:col>
      <xdr:colOff>249477</xdr:colOff>
      <xdr:row>62</xdr:row>
      <xdr:rowOff>40531</xdr:rowOff>
    </xdr:from>
    <xdr:ext cx="984633" cy="319021"/>
    <xdr:pic>
      <xdr:nvPicPr>
        <xdr:cNvPr id="4" name="Picture 3">
          <a:extLst>
            <a:ext uri="{FF2B5EF4-FFF2-40B4-BE49-F238E27FC236}">
              <a16:creationId xmlns:a16="http://schemas.microsoft.com/office/drawing/2014/main" id="{A02AE340-A6FC-4D2D-9232-84162E4D339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2303" y="25385314"/>
          <a:ext cx="984633" cy="319021"/>
        </a:xfrm>
        <a:prstGeom prst="rect">
          <a:avLst/>
        </a:prstGeom>
      </xdr:spPr>
    </xdr:pic>
    <xdr:clientData/>
  </xdr:oneCellAnchor>
  <xdr:oneCellAnchor>
    <xdr:from>
      <xdr:col>1</xdr:col>
      <xdr:colOff>2998304</xdr:colOff>
      <xdr:row>62</xdr:row>
      <xdr:rowOff>57978</xdr:rowOff>
    </xdr:from>
    <xdr:ext cx="770283" cy="475008"/>
    <xdr:pic>
      <xdr:nvPicPr>
        <xdr:cNvPr id="5" name="Picture 4">
          <a:extLst>
            <a:ext uri="{FF2B5EF4-FFF2-40B4-BE49-F238E27FC236}">
              <a16:creationId xmlns:a16="http://schemas.microsoft.com/office/drawing/2014/main" id="{7BCC9C0E-62B5-402B-BDDC-8D19AC8771D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81130" y="25402761"/>
          <a:ext cx="770283" cy="475008"/>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nfo@metrastructure.ca%20|%20(438)%20867-4131" TargetMode="External"/><Relationship Id="rId1" Type="http://schemas.openxmlformats.org/officeDocument/2006/relationships/hyperlink" Target="mailto:info@metrastructure.ca%20|%20(438)%20867-4131"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FDA4-401C-4DA0-B80E-F3216DA468E4}">
  <dimension ref="B1:P64"/>
  <sheetViews>
    <sheetView tabSelected="1" view="pageBreakPreview" topLeftCell="A47" zoomScaleNormal="100" zoomScaleSheetLayoutView="100" workbookViewId="0">
      <selection activeCell="B15" sqref="B14:F15"/>
    </sheetView>
  </sheetViews>
  <sheetFormatPr defaultRowHeight="14.25" x14ac:dyDescent="0.2"/>
  <cols>
    <col min="1" max="1" width="1.125" customWidth="1"/>
    <col min="2" max="2" width="54.625" customWidth="1"/>
    <col min="3" max="3" width="6.875" customWidth="1"/>
    <col min="4" max="4" width="7" customWidth="1"/>
    <col min="5" max="5" width="10.125" bestFit="1" customWidth="1"/>
    <col min="6" max="6" width="11.125" bestFit="1" customWidth="1"/>
    <col min="7" max="7" width="1.125" customWidth="1"/>
    <col min="9" max="9" width="21.125" customWidth="1"/>
    <col min="10" max="10" width="106.625" customWidth="1"/>
    <col min="11" max="11" width="11.625" bestFit="1" customWidth="1"/>
    <col min="12" max="12" width="9.625" bestFit="1" customWidth="1"/>
    <col min="13" max="13" width="15.375" bestFit="1" customWidth="1"/>
    <col min="14" max="14" width="13.875" bestFit="1" customWidth="1"/>
    <col min="16" max="16" width="11.375" bestFit="1" customWidth="1"/>
  </cols>
  <sheetData>
    <row r="1" spans="2:10" ht="20.25" customHeight="1" x14ac:dyDescent="0.2">
      <c r="B1" s="37" t="s">
        <v>0</v>
      </c>
      <c r="C1" s="37"/>
      <c r="D1" s="37"/>
      <c r="E1" s="37"/>
      <c r="F1" s="37"/>
    </row>
    <row r="2" spans="2:10" ht="18" customHeight="1" x14ac:dyDescent="0.2">
      <c r="B2" s="38" t="s">
        <v>1</v>
      </c>
      <c r="C2" s="38"/>
      <c r="D2" s="38"/>
      <c r="E2" s="38"/>
      <c r="F2" s="38"/>
    </row>
    <row r="3" spans="2:10" ht="20.25" customHeight="1" x14ac:dyDescent="0.2">
      <c r="B3" s="38" t="s">
        <v>2</v>
      </c>
      <c r="C3" s="38"/>
      <c r="D3" s="38"/>
      <c r="E3" s="38"/>
      <c r="F3" s="38"/>
    </row>
    <row r="4" spans="2:10" ht="28.5" customHeight="1" x14ac:dyDescent="0.2">
      <c r="B4" s="41" t="s">
        <v>3</v>
      </c>
      <c r="C4" s="41"/>
      <c r="D4" s="41"/>
      <c r="E4" s="41"/>
      <c r="F4" s="41"/>
      <c r="I4" t="s">
        <v>54</v>
      </c>
      <c r="J4" s="24" t="str">
        <f>VLOOKUP(I4,Sheet1!A:B,2,FALSE)</f>
        <v xml:space="preserve">1-Révision des plans architecturaux, définition du système structural et identification des éléments porteurs.
2-Analyse structurale, conception selon le CNB et design complet des fondations, planchers, poutres, colonnes et murs porteurs.
3-Production des plans de fondations, planchers et toiture, incluant coupes, détails structuraux, notes générales et estampille OIQ plan pour permis et construction.
</v>
      </c>
    </row>
    <row r="5" spans="2:10" ht="6.75" customHeight="1" x14ac:dyDescent="0.2">
      <c r="B5" s="10"/>
      <c r="C5" s="10"/>
      <c r="D5" s="10"/>
      <c r="E5" s="10"/>
      <c r="F5" s="10"/>
    </row>
    <row r="6" spans="2:10" x14ac:dyDescent="0.2">
      <c r="C6" s="6" t="s">
        <v>4</v>
      </c>
      <c r="D6" s="43">
        <f ca="1">TODAY()</f>
        <v>46168</v>
      </c>
      <c r="E6" s="43"/>
      <c r="F6" s="43"/>
    </row>
    <row r="7" spans="2:10" x14ac:dyDescent="0.2">
      <c r="B7" t="s">
        <v>77</v>
      </c>
    </row>
    <row r="8" spans="2:10" ht="15" customHeight="1" x14ac:dyDescent="0.2">
      <c r="B8" s="24" t="s">
        <v>83</v>
      </c>
    </row>
    <row r="9" spans="2:10" x14ac:dyDescent="0.2">
      <c r="B9" t="s">
        <v>79</v>
      </c>
    </row>
    <row r="10" spans="2:10" x14ac:dyDescent="0.2">
      <c r="B10" t="s">
        <v>78</v>
      </c>
    </row>
    <row r="11" spans="2:10" ht="8.25" customHeight="1" x14ac:dyDescent="0.2"/>
    <row r="12" spans="2:10" ht="33" customHeight="1" x14ac:dyDescent="0.2">
      <c r="B12" s="42" t="s">
        <v>80</v>
      </c>
      <c r="C12" s="42"/>
      <c r="D12" s="42"/>
      <c r="E12" s="42"/>
      <c r="F12" s="42"/>
    </row>
    <row r="13" spans="2:10" ht="9" customHeight="1" x14ac:dyDescent="0.2"/>
    <row r="14" spans="2:10" ht="15.75" x14ac:dyDescent="0.2">
      <c r="B14" s="2" t="s">
        <v>5</v>
      </c>
      <c r="C14" s="1"/>
      <c r="D14" s="1"/>
      <c r="E14" s="1"/>
      <c r="F14" s="1"/>
    </row>
    <row r="15" spans="2:10" ht="79.5" customHeight="1" x14ac:dyDescent="0.2">
      <c r="B15" s="35" t="s">
        <v>6</v>
      </c>
      <c r="C15" s="35"/>
      <c r="D15" s="35"/>
      <c r="E15" s="35"/>
      <c r="F15" s="35"/>
    </row>
    <row r="16" spans="2:10" ht="41.25" customHeight="1" x14ac:dyDescent="0.2">
      <c r="B16" s="35" t="s">
        <v>7</v>
      </c>
      <c r="C16" s="35"/>
      <c r="D16" s="35"/>
      <c r="E16" s="35"/>
      <c r="F16" s="35"/>
    </row>
    <row r="17" spans="2:6" ht="23.25" customHeight="1" x14ac:dyDescent="0.2">
      <c r="B17" s="2" t="s">
        <v>8</v>
      </c>
      <c r="C17" s="2"/>
      <c r="D17" s="2"/>
      <c r="E17" s="2"/>
      <c r="F17" s="2"/>
    </row>
    <row r="18" spans="2:6" ht="106.5" customHeight="1" x14ac:dyDescent="0.2">
      <c r="B18" s="35" t="s">
        <v>9</v>
      </c>
      <c r="C18" s="35"/>
      <c r="D18" s="35"/>
      <c r="E18" s="35"/>
      <c r="F18" s="35"/>
    </row>
    <row r="19" spans="2:6" ht="20.25" customHeight="1" x14ac:dyDescent="0.2">
      <c r="B19" s="2" t="s">
        <v>10</v>
      </c>
      <c r="C19" s="2"/>
      <c r="D19" s="2"/>
      <c r="E19" s="2"/>
      <c r="F19" s="2"/>
    </row>
    <row r="20" spans="2:6" ht="43.5" customHeight="1" x14ac:dyDescent="0.2">
      <c r="B20" s="35" t="s">
        <v>74</v>
      </c>
      <c r="C20" s="35"/>
      <c r="D20" s="35"/>
      <c r="E20" s="35"/>
      <c r="F20" s="35"/>
    </row>
    <row r="21" spans="2:6" ht="18.75" customHeight="1" x14ac:dyDescent="0.2">
      <c r="B21" s="2" t="s">
        <v>11</v>
      </c>
      <c r="C21" s="2"/>
      <c r="D21" s="2"/>
      <c r="E21" s="2"/>
      <c r="F21" s="2"/>
    </row>
    <row r="22" spans="2:6" ht="81.75" customHeight="1" x14ac:dyDescent="0.2">
      <c r="B22" s="35" t="s">
        <v>12</v>
      </c>
      <c r="C22" s="35"/>
      <c r="D22" s="35"/>
      <c r="E22" s="35"/>
      <c r="F22" s="35"/>
    </row>
    <row r="23" spans="2:6" ht="22.5" customHeight="1" x14ac:dyDescent="0.2">
      <c r="B23" s="2" t="s">
        <v>13</v>
      </c>
      <c r="C23" s="2"/>
      <c r="D23" s="2"/>
      <c r="E23" s="2"/>
      <c r="F23" s="2"/>
    </row>
    <row r="24" spans="2:6" ht="54" customHeight="1" x14ac:dyDescent="0.2">
      <c r="B24" s="35" t="s">
        <v>14</v>
      </c>
      <c r="C24" s="35"/>
      <c r="D24" s="35"/>
      <c r="E24" s="35"/>
      <c r="F24" s="35"/>
    </row>
    <row r="25" spans="2:6" ht="21.75" customHeight="1" x14ac:dyDescent="0.2">
      <c r="B25" s="2" t="s">
        <v>15</v>
      </c>
      <c r="C25" s="2"/>
      <c r="D25" s="2"/>
      <c r="E25" s="2"/>
      <c r="F25" s="2"/>
    </row>
    <row r="26" spans="2:6" ht="30" customHeight="1" x14ac:dyDescent="0.2">
      <c r="B26" s="34" t="s">
        <v>16</v>
      </c>
      <c r="C26" s="34"/>
      <c r="D26" s="34"/>
      <c r="E26" s="34"/>
      <c r="F26" s="34"/>
    </row>
    <row r="27" spans="2:6" x14ac:dyDescent="0.2">
      <c r="B27" s="12"/>
      <c r="C27" s="12"/>
      <c r="D27" s="12"/>
      <c r="E27" s="33" t="s">
        <v>17</v>
      </c>
      <c r="F27" s="33"/>
    </row>
    <row r="28" spans="2:6" x14ac:dyDescent="0.2">
      <c r="B28" s="5"/>
      <c r="C28" s="5"/>
      <c r="D28" s="5"/>
      <c r="E28" s="5"/>
      <c r="F28" s="5"/>
    </row>
    <row r="29" spans="2:6" x14ac:dyDescent="0.2">
      <c r="B29" s="5"/>
      <c r="C29" s="5"/>
      <c r="D29" s="5"/>
      <c r="E29" s="5"/>
      <c r="F29" s="5"/>
    </row>
    <row r="30" spans="2:6" ht="25.5" customHeight="1" x14ac:dyDescent="0.2">
      <c r="B30" s="37" t="s">
        <v>0</v>
      </c>
      <c r="C30" s="37"/>
      <c r="D30" s="37"/>
      <c r="E30" s="37"/>
      <c r="F30" s="37"/>
    </row>
    <row r="31" spans="2:6" ht="15.75" customHeight="1" x14ac:dyDescent="0.2">
      <c r="B31" s="38" t="s">
        <v>1</v>
      </c>
      <c r="C31" s="38"/>
      <c r="D31" s="38"/>
      <c r="E31" s="38"/>
      <c r="F31" s="38"/>
    </row>
    <row r="32" spans="2:6" x14ac:dyDescent="0.2">
      <c r="B32" s="38" t="s">
        <v>2</v>
      </c>
      <c r="C32" s="38"/>
      <c r="D32" s="38"/>
      <c r="E32" s="38"/>
      <c r="F32" s="38"/>
    </row>
    <row r="33" spans="2:16" ht="23.25" customHeight="1" x14ac:dyDescent="0.2">
      <c r="B33" s="39" t="s">
        <v>3</v>
      </c>
      <c r="C33" s="39"/>
      <c r="D33" s="39"/>
      <c r="E33" s="39"/>
      <c r="F33" s="39"/>
    </row>
    <row r="34" spans="2:16" ht="11.25" customHeight="1" x14ac:dyDescent="0.2">
      <c r="B34" s="15"/>
      <c r="C34" s="15"/>
      <c r="D34" s="15"/>
      <c r="E34" s="15"/>
      <c r="F34" s="15"/>
    </row>
    <row r="35" spans="2:16" ht="11.25" customHeight="1" x14ac:dyDescent="0.2">
      <c r="B35" s="2" t="s">
        <v>18</v>
      </c>
      <c r="C35" s="2"/>
      <c r="D35" s="2"/>
      <c r="E35" s="2"/>
      <c r="F35" s="2"/>
    </row>
    <row r="36" spans="2:16" ht="29.25" customHeight="1" x14ac:dyDescent="0.2">
      <c r="B36" s="35" t="s">
        <v>19</v>
      </c>
      <c r="C36" s="35"/>
      <c r="D36" s="35"/>
      <c r="E36" s="35"/>
      <c r="F36" s="35"/>
    </row>
    <row r="37" spans="2:16" ht="8.25" customHeight="1" x14ac:dyDescent="0.2"/>
    <row r="38" spans="2:16" ht="14.25" customHeight="1" x14ac:dyDescent="0.2">
      <c r="B38" s="2" t="s">
        <v>20</v>
      </c>
      <c r="C38" s="2"/>
      <c r="D38" s="4"/>
      <c r="E38" s="4"/>
      <c r="F38" s="4"/>
    </row>
    <row r="39" spans="2:16" ht="15" x14ac:dyDescent="0.2">
      <c r="B39" s="13" t="s">
        <v>21</v>
      </c>
      <c r="C39" s="11" t="s">
        <v>22</v>
      </c>
      <c r="D39" s="5"/>
      <c r="E39" s="5"/>
      <c r="F39" s="5"/>
    </row>
    <row r="40" spans="2:16" ht="15" x14ac:dyDescent="0.2">
      <c r="B40" s="13" t="s">
        <v>23</v>
      </c>
      <c r="C40" s="11" t="s">
        <v>24</v>
      </c>
      <c r="D40" s="5"/>
      <c r="E40" s="5"/>
      <c r="F40" s="5"/>
    </row>
    <row r="41" spans="2:16" ht="15" x14ac:dyDescent="0.2">
      <c r="B41" s="13" t="s">
        <v>25</v>
      </c>
      <c r="C41" s="11" t="s">
        <v>26</v>
      </c>
      <c r="D41" s="5"/>
      <c r="E41" s="5"/>
      <c r="F41" s="5"/>
    </row>
    <row r="42" spans="2:16" ht="15" x14ac:dyDescent="0.2">
      <c r="B42" s="13" t="s">
        <v>27</v>
      </c>
      <c r="C42" s="11" t="s">
        <v>28</v>
      </c>
      <c r="D42" s="5"/>
      <c r="E42" s="5"/>
      <c r="F42" s="5"/>
    </row>
    <row r="43" spans="2:16" ht="17.25" customHeight="1" x14ac:dyDescent="0.2">
      <c r="B43" s="13" t="s">
        <v>29</v>
      </c>
      <c r="C43" s="11" t="s">
        <v>30</v>
      </c>
      <c r="D43" s="5"/>
      <c r="E43" s="5"/>
      <c r="F43" s="5"/>
    </row>
    <row r="44" spans="2:16" ht="15.75" customHeight="1" x14ac:dyDescent="0.2">
      <c r="B44" s="2" t="s">
        <v>31</v>
      </c>
      <c r="C44" s="1"/>
      <c r="D44" s="1"/>
      <c r="E44" s="1"/>
      <c r="F44" s="1"/>
      <c r="J44" s="16" t="s">
        <v>32</v>
      </c>
      <c r="K44" s="16" t="s">
        <v>33</v>
      </c>
      <c r="L44" s="16" t="s">
        <v>34</v>
      </c>
      <c r="M44" s="16" t="s">
        <v>35</v>
      </c>
      <c r="N44" s="16" t="s">
        <v>36</v>
      </c>
      <c r="O44" s="16"/>
      <c r="P44" s="16" t="s">
        <v>37</v>
      </c>
    </row>
    <row r="45" spans="2:16" ht="28.5" customHeight="1" x14ac:dyDescent="0.2">
      <c r="J45" s="17">
        <v>130</v>
      </c>
      <c r="K45" s="17">
        <v>110</v>
      </c>
      <c r="L45" s="17">
        <v>105</v>
      </c>
      <c r="M45" s="17">
        <v>100</v>
      </c>
      <c r="N45" s="17">
        <v>85</v>
      </c>
      <c r="O45" s="16"/>
      <c r="P45" s="16">
        <v>0.67</v>
      </c>
    </row>
    <row r="46" spans="2:16" ht="26.25" customHeight="1" x14ac:dyDescent="0.2">
      <c r="B46" s="21" t="s">
        <v>38</v>
      </c>
      <c r="C46" s="22" t="s">
        <v>39</v>
      </c>
      <c r="D46" s="22" t="s">
        <v>40</v>
      </c>
      <c r="E46" s="22" t="s">
        <v>41</v>
      </c>
      <c r="F46" s="22" t="s">
        <v>42</v>
      </c>
      <c r="J46" s="16"/>
      <c r="K46" s="16"/>
      <c r="L46" s="16"/>
      <c r="M46" s="16"/>
      <c r="N46" s="16"/>
      <c r="O46" s="16"/>
      <c r="P46" s="16"/>
    </row>
    <row r="47" spans="2:16" ht="164.25" customHeight="1" x14ac:dyDescent="0.2">
      <c r="B47" s="30" t="s">
        <v>81</v>
      </c>
      <c r="C47" s="19" t="s">
        <v>43</v>
      </c>
      <c r="D47" s="19">
        <v>1</v>
      </c>
      <c r="E47" s="18">
        <v>4500</v>
      </c>
      <c r="F47" s="18">
        <f>E47*D47</f>
        <v>4500</v>
      </c>
      <c r="J47" s="16"/>
      <c r="K47" s="16">
        <v>10</v>
      </c>
      <c r="L47" s="16">
        <v>22</v>
      </c>
      <c r="M47" s="16"/>
      <c r="N47" s="16">
        <v>24</v>
      </c>
      <c r="O47" s="16"/>
      <c r="P47" s="16"/>
    </row>
    <row r="48" spans="2:16" ht="46.5" customHeight="1" x14ac:dyDescent="0.2">
      <c r="B48" s="36" t="s">
        <v>44</v>
      </c>
      <c r="C48" s="36"/>
      <c r="D48" s="36"/>
      <c r="E48" s="36"/>
      <c r="F48" s="23">
        <f>SUM(F47:F47)</f>
        <v>4500</v>
      </c>
      <c r="J48" s="16"/>
      <c r="K48" s="16"/>
      <c r="L48" s="16"/>
      <c r="M48" s="16"/>
      <c r="N48" s="16"/>
      <c r="P48" s="16"/>
    </row>
    <row r="49" spans="2:16" ht="15.75" x14ac:dyDescent="0.2">
      <c r="B49" s="2" t="s">
        <v>45</v>
      </c>
      <c r="C49" s="1"/>
      <c r="D49" s="1"/>
      <c r="E49" s="1"/>
      <c r="F49" s="1"/>
      <c r="J49" s="16"/>
      <c r="N49" s="16"/>
      <c r="P49" s="16"/>
    </row>
    <row r="50" spans="2:16" ht="3.75" customHeight="1" x14ac:dyDescent="0.2">
      <c r="B50" s="24"/>
    </row>
    <row r="51" spans="2:16" ht="15.75" x14ac:dyDescent="0.2">
      <c r="B51" s="31" t="s">
        <v>76</v>
      </c>
      <c r="C51" s="31"/>
      <c r="D51" s="31"/>
      <c r="E51" s="31"/>
      <c r="F51" s="31"/>
    </row>
    <row r="52" spans="2:16" ht="7.5" customHeight="1" x14ac:dyDescent="0.2"/>
    <row r="53" spans="2:16" ht="15" x14ac:dyDescent="0.2">
      <c r="B53" s="2" t="s">
        <v>46</v>
      </c>
      <c r="C53" s="3"/>
      <c r="D53" s="3"/>
      <c r="E53" s="3"/>
      <c r="F53" s="3"/>
    </row>
    <row r="54" spans="2:16" ht="15.75" x14ac:dyDescent="0.2">
      <c r="B54" s="20" t="s">
        <v>75</v>
      </c>
    </row>
    <row r="55" spans="2:16" ht="39.75" customHeight="1" x14ac:dyDescent="0.2">
      <c r="B55" s="40" t="s">
        <v>61</v>
      </c>
      <c r="C55" s="40"/>
      <c r="D55" s="40"/>
      <c r="E55" s="40"/>
      <c r="F55" s="40"/>
    </row>
    <row r="56" spans="2:16" ht="44.25" customHeight="1" x14ac:dyDescent="0.2">
      <c r="B56" s="40" t="s">
        <v>82</v>
      </c>
      <c r="C56" s="40"/>
      <c r="D56" s="40"/>
      <c r="E56" s="40"/>
      <c r="F56" s="40"/>
    </row>
    <row r="57" spans="2:16" ht="43.5" customHeight="1" x14ac:dyDescent="0.2">
      <c r="B57" s="32" t="s">
        <v>47</v>
      </c>
      <c r="C57" s="32"/>
      <c r="D57" s="32"/>
      <c r="E57" s="32"/>
      <c r="F57" s="32"/>
    </row>
    <row r="58" spans="2:16" ht="0.75" customHeight="1" x14ac:dyDescent="0.2">
      <c r="B58" s="14"/>
      <c r="C58" s="14"/>
      <c r="D58" s="14"/>
      <c r="E58" s="14"/>
      <c r="F58" s="14"/>
    </row>
    <row r="59" spans="2:16" ht="15.75" x14ac:dyDescent="0.2">
      <c r="B59" s="7" t="s">
        <v>48</v>
      </c>
      <c r="C59" s="2" t="s">
        <v>49</v>
      </c>
      <c r="E59" s="7"/>
      <c r="F59" s="7"/>
    </row>
    <row r="60" spans="2:16" ht="15.75" x14ac:dyDescent="0.2">
      <c r="B60" s="9" t="s">
        <v>50</v>
      </c>
      <c r="E60" s="8"/>
      <c r="F60" s="8"/>
    </row>
    <row r="61" spans="2:16" ht="15.75" customHeight="1" x14ac:dyDescent="0.2">
      <c r="B61" s="9" t="s">
        <v>51</v>
      </c>
      <c r="C61" s="2" t="s">
        <v>52</v>
      </c>
      <c r="E61" s="9"/>
      <c r="F61" s="9"/>
    </row>
    <row r="62" spans="2:16" ht="5.25" customHeight="1" x14ac:dyDescent="0.2"/>
    <row r="63" spans="2:16" ht="19.5" customHeight="1" x14ac:dyDescent="0.2">
      <c r="B63" s="12"/>
      <c r="C63" s="12"/>
      <c r="D63" s="12"/>
      <c r="E63" s="33" t="s">
        <v>53</v>
      </c>
      <c r="F63" s="33"/>
    </row>
    <row r="64" spans="2:16" x14ac:dyDescent="0.2">
      <c r="B64" s="5"/>
      <c r="C64" s="5"/>
      <c r="D64" s="5"/>
      <c r="E64" s="5"/>
      <c r="F64" s="5"/>
    </row>
  </sheetData>
  <mergeCells count="25">
    <mergeCell ref="B24:F24"/>
    <mergeCell ref="B15:F15"/>
    <mergeCell ref="B16:F16"/>
    <mergeCell ref="B18:F18"/>
    <mergeCell ref="B20:F20"/>
    <mergeCell ref="B22:F22"/>
    <mergeCell ref="B1:F1"/>
    <mergeCell ref="B2:F2"/>
    <mergeCell ref="B3:F3"/>
    <mergeCell ref="B4:F4"/>
    <mergeCell ref="B12:F12"/>
    <mergeCell ref="D6:F6"/>
    <mergeCell ref="B51:F51"/>
    <mergeCell ref="B57:F57"/>
    <mergeCell ref="E63:F63"/>
    <mergeCell ref="B26:F26"/>
    <mergeCell ref="B36:F36"/>
    <mergeCell ref="B48:E48"/>
    <mergeCell ref="B30:F30"/>
    <mergeCell ref="B31:F31"/>
    <mergeCell ref="B32:F32"/>
    <mergeCell ref="B33:F33"/>
    <mergeCell ref="E27:F27"/>
    <mergeCell ref="B55:F55"/>
    <mergeCell ref="B56:F56"/>
  </mergeCells>
  <phoneticPr fontId="12" type="noConversion"/>
  <hyperlinks>
    <hyperlink ref="B4" r:id="rId1" xr:uid="{4EF2F50D-5AFF-473E-AF0E-8B7854DC1E72}"/>
    <hyperlink ref="B33" r:id="rId2" xr:uid="{298219D4-B858-43D8-8A50-FDA8A6B75E04}"/>
  </hyperlinks>
  <printOptions horizontalCentered="1"/>
  <pageMargins left="0.2" right="0.2" top="0.25" bottom="0.25" header="0.3" footer="0.3"/>
  <pageSetup paperSize="9" orientation="portrait"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3C252C3A-7889-45D8-94D8-45CA94DDDA99}">
          <x14:formula1>
            <xm:f>Sheet1!$A:$A</xm:f>
          </x14:formula1>
          <xm:sqref>I4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0AA8E-94F5-43B4-B8D2-22CFD086CEFC}">
  <dimension ref="A1:C11"/>
  <sheetViews>
    <sheetView topLeftCell="A7" workbookViewId="0">
      <selection activeCell="B11" sqref="B11"/>
    </sheetView>
  </sheetViews>
  <sheetFormatPr defaultRowHeight="14.25" x14ac:dyDescent="0.2"/>
  <cols>
    <col min="1" max="1" width="46.875" bestFit="1" customWidth="1"/>
    <col min="2" max="2" width="63.75" customWidth="1"/>
  </cols>
  <sheetData>
    <row r="1" spans="1:3" ht="156.75" x14ac:dyDescent="0.2">
      <c r="A1" s="25" t="s">
        <v>56</v>
      </c>
      <c r="B1" s="26" t="s">
        <v>57</v>
      </c>
    </row>
    <row r="2" spans="1:3" ht="149.25" customHeight="1" x14ac:dyDescent="0.2">
      <c r="A2" s="28" t="s">
        <v>59</v>
      </c>
      <c r="B2" s="24" t="s">
        <v>60</v>
      </c>
    </row>
    <row r="3" spans="1:3" ht="142.5" x14ac:dyDescent="0.2">
      <c r="A3" s="28" t="s">
        <v>54</v>
      </c>
      <c r="B3" s="26" t="s">
        <v>58</v>
      </c>
      <c r="C3" s="27"/>
    </row>
    <row r="4" spans="1:3" ht="15" x14ac:dyDescent="0.2">
      <c r="A4" s="28" t="s">
        <v>55</v>
      </c>
      <c r="C4" s="27"/>
    </row>
    <row r="5" spans="1:3" ht="200.25" x14ac:dyDescent="0.2">
      <c r="A5" s="28" t="s">
        <v>62</v>
      </c>
      <c r="B5" s="24" t="s">
        <v>63</v>
      </c>
      <c r="C5" s="27"/>
    </row>
    <row r="6" spans="1:3" ht="142.5" x14ac:dyDescent="0.2">
      <c r="A6" s="28" t="s">
        <v>65</v>
      </c>
      <c r="B6" s="24" t="s">
        <v>64</v>
      </c>
    </row>
    <row r="7" spans="1:3" ht="128.25" x14ac:dyDescent="0.2">
      <c r="A7" s="28" t="s">
        <v>66</v>
      </c>
      <c r="B7" s="24" t="s">
        <v>67</v>
      </c>
    </row>
    <row r="8" spans="1:3" ht="99.75" x14ac:dyDescent="0.2">
      <c r="A8" s="28" t="s">
        <v>69</v>
      </c>
      <c r="B8" s="24" t="s">
        <v>68</v>
      </c>
    </row>
    <row r="9" spans="1:3" ht="156.75" x14ac:dyDescent="0.2">
      <c r="A9" s="28" t="s">
        <v>70</v>
      </c>
      <c r="B9" s="24" t="s">
        <v>71</v>
      </c>
    </row>
    <row r="10" spans="1:3" ht="42.75" x14ac:dyDescent="0.2">
      <c r="A10" s="28" t="s">
        <v>72</v>
      </c>
      <c r="B10" s="24" t="s">
        <v>73</v>
      </c>
    </row>
    <row r="11" spans="1:3" ht="15" x14ac:dyDescent="0.25">
      <c r="B11" s="2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bddb16b-794c-4e85-8b68-98142a9095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CEC30210CE2F043BF68B0EB0187E75E" ma:contentTypeVersion="11" ma:contentTypeDescription="Create a new document." ma:contentTypeScope="" ma:versionID="337b1582724cc3a351590e026b780f15">
  <xsd:schema xmlns:xsd="http://www.w3.org/2001/XMLSchema" xmlns:xs="http://www.w3.org/2001/XMLSchema" xmlns:p="http://schemas.microsoft.com/office/2006/metadata/properties" xmlns:ns3="2bddb16b-794c-4e85-8b68-98142a909586" targetNamespace="http://schemas.microsoft.com/office/2006/metadata/properties" ma:root="true" ma:fieldsID="d3b5c450276d42cfd2a4085f4831e3a3" ns3:_="">
    <xsd:import namespace="2bddb16b-794c-4e85-8b68-98142a90958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Location" minOccurs="0"/>
                <xsd:element ref="ns3:_activity"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ddb16b-794c-4e85-8b68-98142a90958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462D16-40B4-49D8-ADA9-598F0802C87E}">
  <ds:schemaRefs>
    <ds:schemaRef ds:uri="http://purl.org/dc/elements/1.1/"/>
    <ds:schemaRef ds:uri="http://purl.org/dc/terms/"/>
    <ds:schemaRef ds:uri="http://schemas.openxmlformats.org/package/2006/metadata/core-properties"/>
    <ds:schemaRef ds:uri="http://schemas.microsoft.com/office/2006/metadata/properties"/>
    <ds:schemaRef ds:uri="2bddb16b-794c-4e85-8b68-98142a909586"/>
    <ds:schemaRef ds:uri="http://purl.org/dc/dcmitype/"/>
    <ds:schemaRef ds:uri="http://schemas.microsoft.com/office/2006/documentManagement/typ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5DEA22F7-FA95-4DC9-82DE-82D3AA9AA76E}">
  <ds:schemaRefs>
    <ds:schemaRef ds:uri="http://schemas.microsoft.com/sharepoint/v3/contenttype/forms"/>
  </ds:schemaRefs>
</ds:datastoreItem>
</file>

<file path=customXml/itemProps3.xml><?xml version="1.0" encoding="utf-8"?>
<ds:datastoreItem xmlns:ds="http://schemas.openxmlformats.org/officeDocument/2006/customXml" ds:itemID="{01891668-BEEC-4540-9390-66D5E9D968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ddb16b-794c-4e85-8b68-98142a9095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ODS</vt:lpstr>
      <vt:lpstr>Sheet1</vt:lpstr>
      <vt:lpstr>ODS!Print_Area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Arash Rohani</dc:creator>
  <cp:keywords/>
  <dc:description/>
  <cp:lastModifiedBy>Arash Rohani</cp:lastModifiedBy>
  <cp:revision/>
  <cp:lastPrinted>2026-05-26T20:58:17Z</cp:lastPrinted>
  <dcterms:created xsi:type="dcterms:W3CDTF">2026-01-20T13:27:05Z</dcterms:created>
  <dcterms:modified xsi:type="dcterms:W3CDTF">2026-05-26T20:59:38Z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0x0101000CEC30210CE2F043BF68B0EB0187E75E</vt:lpwstr>
  </property>
</Properties>
</file>